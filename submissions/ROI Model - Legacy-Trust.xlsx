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ies &amp; calculations" sheetId="1" r:id="rId5"/>
    <sheet state="visible" name="Metric" sheetId="2" r:id="rId6"/>
    <sheet state="visible" name="Assumptions" sheetId="3" r:id="rId7"/>
    <sheet state="visible" name="Sensitivity Analysis" sheetId="4" r:id="rId8"/>
    <sheet state="visible" name="P&amp;L  ROI Summary" sheetId="5" r:id="rId9"/>
  </sheets>
  <definedNames/>
  <calcPr/>
</workbook>
</file>

<file path=xl/sharedStrings.xml><?xml version="1.0" encoding="utf-8"?>
<sst xmlns="http://schemas.openxmlformats.org/spreadsheetml/2006/main" count="108" uniqueCount="69">
  <si>
    <t>Opportunity</t>
  </si>
  <si>
    <t>Description</t>
  </si>
  <si>
    <t>Implementation Cost</t>
  </si>
  <si>
    <t>Maintenance cost</t>
  </si>
  <si>
    <t>Hours saved</t>
  </si>
  <si>
    <t>Cost saved</t>
  </si>
  <si>
    <t>Revenue uplift</t>
  </si>
  <si>
    <t>Net benefit</t>
  </si>
  <si>
    <t>Soft benefit</t>
  </si>
  <si>
    <t>Risks</t>
  </si>
  <si>
    <t>Confidence Level</t>
  </si>
  <si>
    <t>Priority</t>
  </si>
  <si>
    <t>Metric</t>
  </si>
  <si>
    <t>Value</t>
  </si>
  <si>
    <t>Units</t>
  </si>
  <si>
    <t>Source</t>
  </si>
  <si>
    <t>Confidence</t>
  </si>
  <si>
    <t>Notes</t>
  </si>
  <si>
    <t>Total delinquent account volume</t>
  </si>
  <si>
    <t>Count</t>
  </si>
  <si>
    <t>Case study intro</t>
  </si>
  <si>
    <t>Medium</t>
  </si>
  <si>
    <t>Not high because of duplication and multiple data sources (legacy DB, spreadsheets)</t>
  </si>
  <si>
    <t>Likely straightforward case volume</t>
  </si>
  <si>
    <t>Admin hours spent on manual work</t>
  </si>
  <si>
    <t>Missed follow-up rate</t>
  </si>
  <si>
    <t>ratio</t>
  </si>
  <si>
    <t>Activity tracker analysis</t>
  </si>
  <si>
    <t>Indicative rate of missed or delayed follow-up - but not high confidence because of multiple data sources</t>
  </si>
  <si>
    <t>Current handling effort</t>
  </si>
  <si>
    <t>Number of agents</t>
  </si>
  <si>
    <t>High</t>
  </si>
  <si>
    <t>Assumption</t>
  </si>
  <si>
    <t>Agent hourly cost</t>
  </si>
  <si>
    <t>GBP</t>
  </si>
  <si>
    <t>Finance workbook</t>
  </si>
  <si>
    <t>Blended agent hourly cost</t>
  </si>
  <si>
    <t>Working days per month</t>
  </si>
  <si>
    <t>days</t>
  </si>
  <si>
    <t>Used for admin calculations</t>
  </si>
  <si>
    <t>Straightforward case share</t>
  </si>
  <si>
    <t>Operations estimate</t>
  </si>
  <si>
    <t>Suitable for rules-driven self-service</t>
  </si>
  <si>
    <t>Average straightforward case duration</t>
  </si>
  <si>
    <t>minutes</t>
  </si>
  <si>
    <t>Operations leadership</t>
  </si>
  <si>
    <t>Current case handling time</t>
  </si>
  <si>
    <t>Target straightforward case duration</t>
  </si>
  <si>
    <t>Operations target</t>
  </si>
  <si>
    <t>Target after automation support</t>
  </si>
  <si>
    <t>Target straightforward case time saving</t>
  </si>
  <si>
    <t>Target after automation support, as improvement ratio</t>
  </si>
  <si>
    <t>Recovery Uplift for Plan Selection</t>
  </si>
  <si>
    <t>Finance estimate</t>
  </si>
  <si>
    <t>Low</t>
  </si>
  <si>
    <t>Test in sensitivity analysis</t>
  </si>
  <si>
    <t>Recovery Uplift for Promise Capture</t>
  </si>
  <si>
    <t>Scenario based</t>
  </si>
  <si>
    <t>Monthly recovery baseline</t>
  </si>
  <si>
    <t>Baseline monthly recoveries</t>
  </si>
  <si>
    <t>Implementation cost of automating low complexity cases</t>
  </si>
  <si>
    <t>Product delivery estimate</t>
  </si>
  <si>
    <t>Starter figure</t>
  </si>
  <si>
    <t>Implementation cost of automating medium complexity cases</t>
  </si>
  <si>
    <t>Revenue loss due to inconsistent follow-up</t>
  </si>
  <si>
    <t>Finance estimate (Daniel)</t>
  </si>
  <si>
    <t>Finance Director estimate, low visibility on accounts</t>
  </si>
  <si>
    <t>Define a few scenarios to test opportunities and P/L impacts</t>
  </si>
  <si>
    <t>Calculate profit&amp;loss impacts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</si>
</sst>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Alignment="1" applyBorder="1" applyFont="1" applyNumberFormat="1">
      <alignment readingOrder="0"/>
    </xf>
    <xf borderId="1" fillId="0" fontId="3" numFmtId="0" xfId="0" applyAlignment="1" applyBorder="1" applyFont="1">
      <alignment readingOrder="0" vertical="top"/>
    </xf>
    <xf borderId="1" fillId="0" fontId="3" numFmtId="10" xfId="0" applyAlignment="1" applyBorder="1" applyFont="1" applyNumberFormat="1">
      <alignment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3.25"/>
    <col customWidth="1" min="3" max="3" width="17.63"/>
    <col customWidth="1" min="4" max="4" width="15.0"/>
    <col customWidth="1" min="9" max="9" width="37.38"/>
    <col customWidth="1" min="10" max="10" width="29.25"/>
    <col customWidth="1" min="11" max="1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</row>
    <row r="3">
      <c r="A3" s="2"/>
      <c r="B3" s="2"/>
      <c r="C3" s="3"/>
      <c r="D3" s="2"/>
      <c r="E3" s="3"/>
      <c r="F3" s="2"/>
      <c r="G3" s="2"/>
      <c r="H3" s="2"/>
      <c r="I3" s="2"/>
      <c r="J3" s="2"/>
      <c r="K3" s="2"/>
      <c r="L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3" max="3" width="17.63"/>
    <col customWidth="1" min="4" max="4" width="18.5"/>
    <col customWidth="1" min="5" max="5" width="10.13"/>
    <col customWidth="1" min="6" max="6" width="79.5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2" t="s">
        <v>18</v>
      </c>
      <c r="B2" s="4">
        <v>100000.0</v>
      </c>
      <c r="C2" s="2" t="s">
        <v>19</v>
      </c>
      <c r="D2" s="2" t="s">
        <v>20</v>
      </c>
      <c r="E2" s="2" t="s">
        <v>21</v>
      </c>
      <c r="F2" s="2" t="s">
        <v>22</v>
      </c>
    </row>
    <row r="3">
      <c r="A3" s="2" t="s">
        <v>23</v>
      </c>
      <c r="B3" s="2"/>
      <c r="C3" s="2"/>
      <c r="D3" s="2"/>
      <c r="E3" s="2"/>
      <c r="F3" s="2"/>
    </row>
    <row r="4">
      <c r="A4" s="2" t="s">
        <v>24</v>
      </c>
      <c r="B4" s="2"/>
      <c r="C4" s="2"/>
      <c r="D4" s="2"/>
      <c r="E4" s="2"/>
      <c r="F4" s="2"/>
    </row>
    <row r="5">
      <c r="A5" s="5" t="s">
        <v>25</v>
      </c>
      <c r="B5" s="5">
        <v>0.14</v>
      </c>
      <c r="C5" s="5" t="s">
        <v>26</v>
      </c>
      <c r="D5" s="5" t="s">
        <v>27</v>
      </c>
      <c r="E5" s="5" t="s">
        <v>21</v>
      </c>
      <c r="F5" s="5" t="s">
        <v>28</v>
      </c>
    </row>
    <row r="6">
      <c r="A6" s="2" t="s">
        <v>29</v>
      </c>
      <c r="B6" s="2"/>
      <c r="C6" s="2"/>
      <c r="D6" s="2"/>
      <c r="E6" s="2"/>
      <c r="F6" s="2"/>
    </row>
    <row r="7">
      <c r="A7" s="2" t="s">
        <v>30</v>
      </c>
      <c r="B7" s="2">
        <v>50.0</v>
      </c>
      <c r="C7" s="2" t="s">
        <v>19</v>
      </c>
      <c r="D7" s="2" t="s">
        <v>20</v>
      </c>
      <c r="E7" s="2" t="s">
        <v>31</v>
      </c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B13" s="2"/>
      <c r="C13" s="2"/>
      <c r="D13" s="2"/>
      <c r="E13" s="2"/>
      <c r="F13" s="2"/>
    </row>
    <row r="14">
      <c r="A14" s="2"/>
      <c r="B14" s="4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5"/>
      <c r="B17" s="5"/>
      <c r="C17" s="5"/>
      <c r="D17" s="5"/>
      <c r="E17" s="5"/>
      <c r="F17" s="5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3" max="3" width="17.63"/>
    <col customWidth="1" min="4" max="4" width="20.0"/>
    <col customWidth="1" min="5" max="5" width="12.88"/>
    <col customWidth="1" min="6" max="6" width="79.5"/>
  </cols>
  <sheetData>
    <row r="1">
      <c r="A1" s="1" t="s">
        <v>32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5" t="s">
        <v>33</v>
      </c>
      <c r="B2" s="5">
        <v>22.0</v>
      </c>
      <c r="C2" s="5" t="s">
        <v>34</v>
      </c>
      <c r="D2" s="5" t="s">
        <v>35</v>
      </c>
      <c r="E2" s="5" t="s">
        <v>31</v>
      </c>
      <c r="F2" s="5" t="s">
        <v>36</v>
      </c>
    </row>
    <row r="3">
      <c r="A3" s="5" t="s">
        <v>37</v>
      </c>
      <c r="B3" s="5">
        <v>21.0</v>
      </c>
      <c r="C3" s="5" t="s">
        <v>38</v>
      </c>
      <c r="D3" s="5" t="s">
        <v>35</v>
      </c>
      <c r="E3" s="5" t="s">
        <v>31</v>
      </c>
      <c r="F3" s="5" t="s">
        <v>39</v>
      </c>
    </row>
    <row r="4">
      <c r="A4" s="5" t="s">
        <v>40</v>
      </c>
      <c r="B4" s="5">
        <v>0.38</v>
      </c>
      <c r="C4" s="5" t="s">
        <v>26</v>
      </c>
      <c r="D4" s="5" t="s">
        <v>41</v>
      </c>
      <c r="E4" s="5" t="s">
        <v>21</v>
      </c>
      <c r="F4" s="5" t="s">
        <v>42</v>
      </c>
    </row>
    <row r="5">
      <c r="A5" s="5" t="s">
        <v>43</v>
      </c>
      <c r="B5" s="5">
        <v>18.0</v>
      </c>
      <c r="C5" s="5" t="s">
        <v>44</v>
      </c>
      <c r="D5" s="5" t="s">
        <v>45</v>
      </c>
      <c r="E5" s="5" t="s">
        <v>21</v>
      </c>
      <c r="F5" s="5" t="s">
        <v>46</v>
      </c>
    </row>
    <row r="6">
      <c r="A6" s="5" t="s">
        <v>47</v>
      </c>
      <c r="B6" s="5">
        <v>10.0</v>
      </c>
      <c r="C6" s="5" t="s">
        <v>44</v>
      </c>
      <c r="D6" s="5" t="s">
        <v>48</v>
      </c>
      <c r="E6" s="5" t="s">
        <v>21</v>
      </c>
      <c r="F6" s="5" t="s">
        <v>49</v>
      </c>
    </row>
    <row r="7">
      <c r="A7" s="5" t="s">
        <v>50</v>
      </c>
      <c r="B7" s="6">
        <f>(B5-B6)/B5</f>
        <v>0.4444444444</v>
      </c>
      <c r="C7" s="5" t="s">
        <v>26</v>
      </c>
      <c r="D7" s="5" t="s">
        <v>48</v>
      </c>
      <c r="E7" s="5" t="s">
        <v>21</v>
      </c>
      <c r="F7" s="5" t="s">
        <v>51</v>
      </c>
    </row>
    <row r="8">
      <c r="A8" s="5" t="s">
        <v>25</v>
      </c>
      <c r="B8" s="5">
        <v>0.14</v>
      </c>
      <c r="C8" s="5" t="s">
        <v>26</v>
      </c>
      <c r="D8" s="5" t="s">
        <v>27</v>
      </c>
      <c r="E8" s="5" t="s">
        <v>21</v>
      </c>
      <c r="F8" s="5" t="s">
        <v>28</v>
      </c>
    </row>
    <row r="9">
      <c r="A9" s="5" t="s">
        <v>52</v>
      </c>
      <c r="B9" s="5">
        <v>0.04</v>
      </c>
      <c r="C9" s="5" t="s">
        <v>26</v>
      </c>
      <c r="D9" s="5" t="s">
        <v>53</v>
      </c>
      <c r="E9" s="5" t="s">
        <v>54</v>
      </c>
      <c r="F9" s="5" t="s">
        <v>55</v>
      </c>
    </row>
    <row r="10">
      <c r="A10" s="5" t="s">
        <v>56</v>
      </c>
      <c r="B10" s="5">
        <v>0.025</v>
      </c>
      <c r="C10" s="5" t="s">
        <v>26</v>
      </c>
      <c r="D10" s="5" t="s">
        <v>53</v>
      </c>
      <c r="E10" s="5" t="s">
        <v>54</v>
      </c>
      <c r="F10" s="5" t="s">
        <v>57</v>
      </c>
    </row>
    <row r="11">
      <c r="A11" s="5" t="s">
        <v>58</v>
      </c>
      <c r="B11" s="5">
        <v>8000000.0</v>
      </c>
      <c r="C11" s="5" t="s">
        <v>34</v>
      </c>
      <c r="D11" s="5" t="s">
        <v>35</v>
      </c>
      <c r="E11" s="5" t="s">
        <v>21</v>
      </c>
      <c r="F11" s="5" t="s">
        <v>59</v>
      </c>
    </row>
    <row r="12">
      <c r="A12" s="5" t="s">
        <v>60</v>
      </c>
      <c r="B12" s="5">
        <v>45000.0</v>
      </c>
      <c r="C12" s="5" t="s">
        <v>34</v>
      </c>
      <c r="D12" s="5" t="s">
        <v>61</v>
      </c>
      <c r="E12" s="5" t="s">
        <v>21</v>
      </c>
      <c r="F12" s="5" t="s">
        <v>62</v>
      </c>
    </row>
    <row r="13">
      <c r="A13" s="5" t="s">
        <v>63</v>
      </c>
      <c r="B13" s="5">
        <v>85000.0</v>
      </c>
      <c r="C13" s="5" t="s">
        <v>34</v>
      </c>
      <c r="D13" s="5" t="s">
        <v>61</v>
      </c>
      <c r="E13" s="5" t="s">
        <v>21</v>
      </c>
      <c r="F13" s="5" t="s">
        <v>62</v>
      </c>
    </row>
    <row r="14">
      <c r="A14" s="5" t="s">
        <v>64</v>
      </c>
      <c r="B14" s="5">
        <v>0.15</v>
      </c>
      <c r="C14" s="5" t="s">
        <v>26</v>
      </c>
      <c r="D14" s="5" t="s">
        <v>65</v>
      </c>
      <c r="E14" s="5" t="s">
        <v>21</v>
      </c>
      <c r="F14" s="5" t="s">
        <v>66</v>
      </c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68</v>
      </c>
    </row>
  </sheetData>
  <drawing r:id="rId1"/>
</worksheet>
</file>